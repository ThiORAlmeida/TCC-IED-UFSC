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</sheets>
  <definedNames/>
  <calcPr/>
</workbook>
</file>

<file path=xl/sharedStrings.xml><?xml version="1.0" encoding="utf-8"?>
<sst xmlns="http://schemas.openxmlformats.org/spreadsheetml/2006/main" count="55" uniqueCount="53">
  <si>
    <t>Resumo de Custo - Protótipo de Relé de Proteção Didático</t>
  </si>
  <si>
    <t>Data da estimativa</t>
  </si>
  <si>
    <t>Observação</t>
  </si>
  <si>
    <t>Preços de varejo/marketplace; frete e impostos não inclusos.</t>
  </si>
  <si>
    <t>Total incluído no protótipo</t>
  </si>
  <si>
    <t>Item</t>
  </si>
  <si>
    <t>Qtde</t>
  </si>
  <si>
    <t>Preço unit. (R$)</t>
  </si>
  <si>
    <t>Subtotal incluído (R$)</t>
  </si>
  <si>
    <t>Link Marketplace</t>
  </si>
  <si>
    <t>Itens Kit Resistores e Capacitores</t>
  </si>
  <si>
    <t>ESP32 DevKit V1 / ESP-WROOM-32</t>
  </si>
  <si>
    <t>https://pt.aliexpress.com/item/1005004797368772.html?src=google&amp;traffic_server_nav=true&amp;src=google&amp;albch=shopping&amp;acnt=768-202-3196&amp;isdl=y&amp;slnk=&amp;plac=&amp;mtctp=&amp;albbt=Google_7_shopping&amp;aff_platform=google&amp;aff_short_key=UneMJZVf&amp;gclsrc=aw.ds&amp;albagn=888888&amp;ds_e_adid=&amp;ds_e_matchtype=&amp;ds_e_device=c&amp;ds_e_network=x&amp;ds_e_product_group_id=&amp;ds_e_product_id=pt1005004797368772&amp;ds_e_product_merchant_id=109152585&amp;ds_e_product_country=BR&amp;ds_e_product_language=pt&amp;ds_e_product_channel=online&amp;ds_e_product_store_id=&amp;ds_url_v=2&amp;albcp=21106536414&amp;albag=&amp;isSmbAutoCall=false&amp;needSmbHouyi=false&amp;gad_source=1&amp;gad_campaignid=21106537179&amp;gbraid=0AAAAAC_WlP_65Vlhn7xcqpaoqUGBgOBT2&amp;gclid=Cj0KCQjwr4jSBhCSARIsAOX1E-IgK04kcyH4RFCDEjtmkRvw2f8oyv5oyy8aF71eTNj5TOgZej3HQuwaAnE4EALw_wcB</t>
  </si>
  <si>
    <t>Resistor 10 kΩ</t>
  </si>
  <si>
    <t>20 unidades</t>
  </si>
  <si>
    <t>Módulo ACS712 5A</t>
  </si>
  <si>
    <t>https://pt.aliexpress.com/item/1005010159274225.html?src=google&amp;traffic_server_nav=true&amp;src=google&amp;albch=shopping&amp;acnt=768-202-3196&amp;isdl=y&amp;slnk=&amp;plac=&amp;mtctp=&amp;albbt=Google_7_shopping&amp;aff_platform=google&amp;aff_short_key=UneMJZVf&amp;gclsrc=aw.ds&amp;albagn=888888&amp;ds_e_adid=&amp;ds_e_matchtype=&amp;ds_e_device=c&amp;ds_e_network=x&amp;ds_e_product_group_id=&amp;ds_e_product_id=pt1005010159274225&amp;ds_e_product_merchant_id=5663213908&amp;ds_e_product_country=BR&amp;ds_e_product_language=pt&amp;ds_e_product_channel=online&amp;ds_e_product_store_id=&amp;ds_url_v=2&amp;albcp=21106536414&amp;albag=&amp;isSmbAutoCall=false&amp;needSmbHouyi=false&amp;gad_source=1&amp;gad_campaignid=21106537179&amp;gbraid=0AAAAAC_WlP_65Vlhn7xcqpaoqUGBgOBT2&amp;gclid=Cj0KCQjwr4jSBhCSARIsAOX1E-IVCtZsTuCeSpuOx9BZPFKKYuiFXqitndLM8618yxBmhuXYo3sk4B8aArAZEALw_wcBB</t>
  </si>
  <si>
    <t>Capacitor 200 nF</t>
  </si>
  <si>
    <t>3 unidades</t>
  </si>
  <si>
    <t>Módulo Ethernet W5500</t>
  </si>
  <si>
    <t>https://pt.aliexpress.com/item/32667248324.html?src=google&amp;traffic_server_nav=true&amp;src=google&amp;albch=shopping&amp;acnt=768-202-3196&amp;isdl=y&amp;slnk=&amp;plac=&amp;mtctp=&amp;albbt=Google_7_shopping&amp;aff_platform=google&amp;aff_short_key=UneMJZVf&amp;gclsrc=aw.ds&amp;albagn=888888&amp;ds_e_adid=&amp;ds_e_matchtype=&amp;ds_e_device=c&amp;ds_e_network=x&amp;ds_e_product_group_id=&amp;ds_e_product_id=pt32667248324&amp;ds_e_product_merchant_id=107160712&amp;ds_e_product_country=BR&amp;ds_e_product_language=pt&amp;ds_e_product_channel=online&amp;ds_e_product_store_id=&amp;ds_url_v=2&amp;albcp=21106536414&amp;albag=&amp;isSmbAutoCall=false&amp;needSmbHouyi=false&amp;gad_source=1&amp;gad_campaignid=21106537179&amp;gbraid=0AAAAAC_WlP_65Vlhn7xcqpaoqUGBgOBT2&amp;gclid=Cj0KCQjwr4jSBhCSARIsAOX1E-JWTXnvlX3QqODQFbAQGHSaq9kWv4mPawWNILGsbrM127KHOtI8VBsaApy5EALw_wcB</t>
  </si>
  <si>
    <t>Capacitor 47 nF</t>
  </si>
  <si>
    <t>7 unidades</t>
  </si>
  <si>
    <t>Módulo ZMPT101B</t>
  </si>
  <si>
    <t>https://pt.aliexpress.com/item/1005002967402208.html?src=google&amp;src=google&amp;albch=shopping&amp;acnt=603-455-9033&amp;isdl=y&amp;slnk=&amp;plac=&amp;mtctp=&amp;albbt=Google_7_shopping&amp;aff_platform=google&amp;aff_short_key=_oFgTQeV&amp;gclsrc=aw.ds&amp;albagn=888888&amp;ds_e_adid=&amp;ds_e_matchtype=&amp;ds_e_device=c&amp;ds_e_network=x&amp;ds_e_product_group_id=&amp;ds_e_product_id=pt1005002967402208&amp;ds_e_product_merchant_id=460506814&amp;ds_e_product_country=BR&amp;ds_e_product_language=pt&amp;ds_e_product_channel=online&amp;ds_e_product_store_id=&amp;ds_url_v=2&amp;albcp=23498557176&amp;albag=&amp;isSmbAutoCall=false&amp;needSmbHouyi=false&amp;gad_source=1&amp;gad_campaignid=23498603229&amp;gbraid=0AAAABCRFad9tJbHFXmJkiC-Q79NTh1H92&amp;gclid=Cj0KCQjwr4jSBhCSARIsAOX1E-KtFq9Tt9I7BcNb8aclYh1R6ojhjhg34VXx7l47zZrO3GNJRJnRC1IaAve2EALw_wcB</t>
  </si>
  <si>
    <t>Sensor RTD PT100 / termorresistência</t>
  </si>
  <si>
    <t>https://pt.aliexpress.com/item/1005009993688796.html?src=google&amp;traffic_server_nav=true&amp;src=google&amp;albch=shopping&amp;acnt=768-202-3196&amp;isdl=y&amp;slnk=&amp;plac=&amp;mtctp=&amp;albbt=Google_7_shopping&amp;aff_platform=google&amp;aff_short_key=UneMJZVf&amp;gclsrc=aw.ds&amp;albagn=888888&amp;ds_e_adid=&amp;ds_e_matchtype=&amp;ds_e_device=c&amp;ds_e_network=x&amp;ds_e_product_group_id=&amp;ds_e_product_id=pt1005009993688796&amp;ds_e_product_merchant_id=5320997518&amp;ds_e_product_country=BR&amp;ds_e_product_language=pt&amp;ds_e_product_channel=online&amp;ds_e_product_store_id=&amp;ds_url_v=2&amp;albcp=21106536414&amp;albag=&amp;isSmbAutoCall=false&amp;needSmbHouyi=false&amp;gad_source=1&amp;gad_campaignid=21106537179&amp;gbraid=0AAAAAC_WlP_65Vlhn7xcqpaoqUGBgOBT2&amp;gclid=Cj0KCQjwr4jSBhCSARIsAOX1E-IHSH4Ycla6xbo1WSg7huetbC0vBatDQCKFKFx-KNj9e6FBr7TaG2IaAhiFEALw_wcB</t>
  </si>
  <si>
    <t>Multiplexador CD74HC4067 16 canais</t>
  </si>
  <si>
    <t>https://pt.aliexpress.com/item/1005009268741468.html?src=google&amp;traffic_server_nav=true&amp;src=google&amp;albch=shopping&amp;acnt=768-202-3196&amp;isdl=y&amp;slnk=&amp;plac=&amp;mtctp=&amp;albbt=Google_7_shopping&amp;aff_platform=google&amp;aff_short_key=UneMJZVf&amp;gclsrc=aw.ds&amp;albagn=888888&amp;ds_e_adid=&amp;ds_e_matchtype=&amp;ds_e_device=c&amp;ds_e_network=x&amp;ds_e_product_group_id=&amp;ds_e_product_id=pt1005009268741468&amp;ds_e_product_merchant_id=106314379&amp;ds_e_product_country=BR&amp;ds_e_product_language=pt&amp;ds_e_product_channel=online&amp;ds_e_product_store_id=&amp;ds_url_v=2&amp;albcp=21106536414&amp;albag=&amp;isSmbAutoCall=false&amp;needSmbHouyi=false&amp;gad_source=1&amp;gad_campaignid=21106537179&amp;gbraid=0AAAAAC_WlP_65Vlhn7xcqpaoqUGBgOBT2&amp;gclid=Cj0KCQjwr4jSBhCSARIsAOX1E-L9WMP4pp65XOwUXdCFmiM1wASdw6m0-ITCXfdIlIVuPlY_5I37uHcaAsofEALw_wcB</t>
  </si>
  <si>
    <t>Display TFT 1,8'' ST7735S 128x160</t>
  </si>
  <si>
    <t>https://pt.aliexpress.com/item/1005009694512284.html?src=google&amp;src=google&amp;albch=shopping&amp;acnt=603-455-9033&amp;isdl=y&amp;slnk=&amp;plac=&amp;mtctp=&amp;albbt=Google_7_shopping&amp;aff_platform=google&amp;aff_short_key=_oFgTQeV&amp;gclsrc=aw.ds&amp;albagn=888888&amp;ds_e_adid=&amp;ds_e_matchtype=&amp;ds_e_device=c&amp;ds_e_network=x&amp;ds_e_product_group_id=&amp;ds_e_product_id=pt1005009694512284&amp;ds_e_product_merchant_id=5445730461&amp;ds_e_product_country=BR&amp;ds_e_product_language=pt&amp;ds_e_product_channel=online&amp;ds_e_product_store_id=&amp;ds_url_v=2&amp;albcp=23541406539&amp;albag=&amp;isSmbAutoCall=false&amp;needSmbHouyi=false&amp;gad_source=1&amp;gad_campaignid=23551211716&amp;gbraid=0AAAABCRFad-d02UcBIr6J9Yy5Tkc_h9cK&amp;gclid=Cj0KCQjwr4jSBhCSARIsAOX1E-JIp04vwShmPgORPfirpCDUgSpsncwJextojj-x7b9CrGo6fDGG6NgaAp6wEALw_wcB</t>
  </si>
  <si>
    <t>Barra 8 LEDs RGB WS2812B</t>
  </si>
  <si>
    <t>https://pt.aliexpress.com/item/1005010677250186.html?src=google&amp;traffic_server_nav=true&amp;src=google&amp;albch=shopping&amp;acnt=768-202-3196&amp;isdl=y&amp;slnk=&amp;plac=&amp;mtctp=&amp;albbt=Google_7_shopping&amp;aff_platform=google&amp;aff_short_key=UneMJZVf&amp;gclsrc=aw.ds&amp;albagn=888888&amp;ds_e_adid=&amp;ds_e_matchtype=&amp;ds_e_device=c&amp;ds_e_network=x&amp;ds_e_product_group_id=&amp;ds_e_product_id=pt1005010677250186&amp;ds_e_product_merchant_id=5700772454&amp;ds_e_product_country=BR&amp;ds_e_product_language=pt&amp;ds_e_product_channel=online&amp;ds_e_product_store_id=&amp;ds_url_v=2&amp;albcp=21106536414&amp;albag=&amp;isSmbAutoCall=false&amp;needSmbHouyi=false&amp;gad_source=1&amp;gad_campaignid=21106537179&amp;gbraid=0AAAAAC_WlP_65Vlhn7xcqpaoqUGBgOBT2&amp;gclid=Cj0KCQjwr4jSBhCSARIsAOX1E-LRBbxiztNnSdjU2lvN1E-Yp2t9lSHmZTvRMDoV49yBNbD03UAbeVoaAhx2EALw_wcB</t>
  </si>
  <si>
    <t>Módulo relé 5V 1 canal 250VAC/10A</t>
  </si>
  <si>
    <t>https://pt.aliexpress.com/item/1005009141278440.html?src=google&amp;traffic_server_nav=true&amp;src=google&amp;albch=shopping&amp;acnt=768-202-3196&amp;isdl=y&amp;slnk=&amp;plac=&amp;mtctp=&amp;albbt=Google_7_shopping&amp;aff_platform=google&amp;aff_short_key=UneMJZVf&amp;gclsrc=aw.ds&amp;albagn=888888&amp;ds_e_adid=&amp;ds_e_matchtype=&amp;ds_e_device=c&amp;ds_e_network=x&amp;ds_e_product_group_id=&amp;ds_e_product_id=pt1005009141278440&amp;ds_e_product_merchant_id=5513130178&amp;ds_e_product_country=BR&amp;ds_e_product_language=pt&amp;ds_e_product_channel=online&amp;ds_e_product_store_id=&amp;ds_url_v=2&amp;albcp=21106536414&amp;albag=&amp;isSmbAutoCall=false&amp;needSmbHouyi=false&amp;gad_source=1&amp;gad_campaignid=21106537179&amp;gbraid=0AAAAAC_WlP_65Vlhn7xcqpaoqUGBgOBT2&amp;gclid=Cj0KCQjwr4jSBhCSARIsAOX1E-JImfgvwxTGZkaCWvY54r9F-g_B6swG9ijL4dZqTmzI4iS9E6sjgoUaAtJ2EALw_wcB</t>
  </si>
  <si>
    <t>Fonte Hi-Link HLK-PM01 5V/3W</t>
  </si>
  <si>
    <t>https://pt.aliexpress.com/item/1005012576242821.html?src=google&amp;src=google&amp;albch=shopping&amp;acnt=297-491-5278&amp;isdl=y&amp;slnk=&amp;plac=&amp;mtctp=&amp;albbt=Google_7_shopping&amp;aff_platform=google&amp;aff_short_key=_oFgTQeV&amp;gclsrc=aw.ds&amp;albagn=888888&amp;ds_e_adid=&amp;ds_e_matchtype=&amp;ds_e_device=c&amp;ds_e_network=x&amp;ds_e_product_group_id=&amp;ds_e_product_id=pt1005012576242821&amp;ds_e_product_merchant_id=5703138139&amp;ds_e_product_country=BR&amp;ds_e_product_language=pt&amp;ds_e_product_channel=online&amp;ds_e_product_store_id=&amp;ds_url_v=2&amp;albcp=23461193190&amp;albag=&amp;isSmbAutoCall=false&amp;needSmbHouyi=false&amp;gad_source=1&amp;gad_campaignid=23466249500&amp;gbraid=0AAAABCRGU4nRPelbrDPqtmXEOB67bhZkn&amp;gclid=Cj0KCQjwr4jSBhCSARIsAOX1E-JtWbHPXttIyrVQlTC1u9iu_dAUG4NpY0n-tjuqxP125h2E7ddmQqYaAmRHEALw_wcB</t>
  </si>
  <si>
    <t>Cabos USB / alimentação</t>
  </si>
  <si>
    <t>https://pt.aliexpress.com/item/1005007771890393.html?src=google&amp;traffic_server_nav=true&amp;src=google&amp;albch=shopping&amp;acnt=768-202-3196&amp;isdl=y&amp;slnk=&amp;plac=&amp;mtctp=&amp;albbt=Google_7_shopping&amp;aff_platform=google&amp;aff_short_key=UneMJZVf&amp;gclsrc=aw.ds&amp;albagn=888888&amp;ds_e_adid=&amp;ds_e_matchtype=&amp;ds_e_device=c&amp;ds_e_network=x&amp;ds_e_product_group_id=&amp;ds_e_product_id=pt1005007771890393&amp;ds_e_product_merchant_id=768097526&amp;ds_e_product_country=BR&amp;ds_e_product_language=pt&amp;ds_e_product_channel=online&amp;ds_e_product_store_id=&amp;ds_url_v=2&amp;albcp=23747131398&amp;albag=&amp;isSmbAutoCall=false&amp;needSmbHouyi=false&amp;gad_source=1&amp;gad_campaignid=23747178714&amp;gbraid=0AAAABCRFad-rsuN6KYhLp-Xop54Lsea60&amp;gclid=Cj0KCQjwr4jSBhCSARIsAOX1E-JivWpjYvbZixbmAORckwCikvOAFp2c7ey5i5NB9Pc24UJoTwBkGvgaAqIJEALw_wcB</t>
  </si>
  <si>
    <t>Resistor e Capacitores (Kit)</t>
  </si>
  <si>
    <t>https://pt.aliexpress.com/item/1005010050482030.html?src=google&amp;traffic_server_nav=true&amp;src=google&amp;albch=shopping&amp;acnt=768-202-3196&amp;isdl=y&amp;slnk=&amp;plac=&amp;mtctp=&amp;albbt=Google_7_shopping&amp;aff_platform=google&amp;aff_short_key=UneMJZVf&amp;gclsrc=aw.ds&amp;albagn=888888&amp;ds_e_adid=&amp;ds_e_matchtype=&amp;ds_e_device=c&amp;ds_e_network=x&amp;ds_e_product_group_id=&amp;ds_e_product_id=pt1005010050482030&amp;ds_e_product_merchant_id=5620899455&amp;ds_e_product_country=BR&amp;ds_e_product_language=pt&amp;ds_e_product_channel=online&amp;ds_e_product_store_id=&amp;ds_url_v=2&amp;albcp=21106536414&amp;albag=&amp;isSmbAutoCall=false&amp;needSmbHouyi=false&amp;gad_source=1&amp;gad_campaignid=21106537179&amp;gbraid=0AAAAAC_WlP_65Vlhn7xcqpaoqUGBgOBT2&amp;gclid=Cj0KCQjwr4jSBhCSARIsAOX1E-Im2rcoQ-pP382YcJEYBVnv6NOw67fdcVPZaTWCu7-Kk98FKdUYbtYaAiWkEALw_wcB</t>
  </si>
  <si>
    <t>5x Placa circuito universal 9x15cm</t>
  </si>
  <si>
    <t>https://pt.aliexpress.com/item/1005007977006793.html?spm=a2g0o.productlist.main.6.1d7bRb6eRb6e2a&amp;algo_pvid=a6ae6b87-3add-4a4e-b7a6-1d6ee03426a3&amp;algo_exp_id=a6ae6b87-3add-4a4e-b7a6-1d6ee03426a3-5&amp;pdp_ext_f=%7B%22order%22%3A%2213053%22%2C%22spu_best_type%22%3A%22price%22%2C%22eval%22%3A%221%22%2C%22fromPage%22%3A%22search%22%7D&amp;pdp_npi=6%40dis%21BRL%2110.44%219.44%21%21%2112.71%2111.49%21%402103212317827757536174944ea02c%2112000043124727482%21sea%21BR%210%21ABX%211%210%21n_tag%3A-29910%3Bd%3A2793616d%3Bm03_new_user%3A-29895%3BpisId%3A5000000207250938&amp;curPageLogUid=NgvrhfA0YwmN&amp;utparam-url=scene%3Asearch%7Cquery_from%3A%7Cx_object_id%3A1005007977006793%7C_p_origin_prod%3A</t>
  </si>
  <si>
    <t>Kit 10x bornes KF103 45graus</t>
  </si>
  <si>
    <t>https://pt.aliexpress.com/item/1005008706634283.html?src=google&amp;src=google&amp;albch=shopping&amp;acnt=603-455-9033&amp;isdl=y&amp;slnk=&amp;plac=&amp;mtctp=&amp;albbt=Google_7_shopping&amp;aff_platform=google&amp;aff_short_key=_oFgTQeV&amp;gclsrc=aw.ds&amp;albagn=888888&amp;ds_e_adid=&amp;ds_e_matchtype=&amp;ds_e_device=c&amp;ds_e_network=x&amp;ds_e_product_group_id=&amp;ds_e_product_id=pt1005008706634283&amp;ds_e_product_merchant_id=5556276102&amp;ds_e_product_country=BR&amp;ds_e_product_language=pt&amp;ds_e_product_channel=online&amp;ds_e_product_store_id=&amp;ds_url_v=2&amp;albcp=23498557176&amp;albag=&amp;isSmbAutoCall=false&amp;needSmbHouyi=false&amp;gad_source=1&amp;gad_campaignid=23498603229&amp;gbraid=0AAAABCRFad9tJbHFXmJkiC-Q79NTh1H92&amp;gclid=Cj0KCQjwr4jSBhCSARIsAOX1E-K-3IHnceFJQF-b1sl6SFGrpPssUWLINXUFAW_LtgPo0DEOcWK4FuAaAvhPEALw_wcB</t>
  </si>
  <si>
    <t>Fio 30awg para pcb</t>
  </si>
  <si>
    <t>https://pt.aliexpress.com/item/1005010759637095.html?src=google&amp;src=google&amp;albch=shopping&amp;acnt=603-455-9033&amp;isdl=y&amp;slnk=&amp;plac=&amp;mtctp=&amp;albbt=Google_7_shopping&amp;aff_platform=google&amp;aff_short_key=_oFgTQeV&amp;gclsrc=aw.ds&amp;albagn=888888&amp;ds_e_adid=&amp;ds_e_matchtype=&amp;ds_e_device=c&amp;ds_e_network=x&amp;ds_e_product_group_id=&amp;ds_e_product_id=pt1005010759637095&amp;ds_e_product_merchant_id=5762056048&amp;ds_e_product_country=BR&amp;ds_e_product_language=pt&amp;ds_e_product_channel=online&amp;ds_e_product_store_id=&amp;ds_url_v=2&amp;albcp=23541406539&amp;albag=&amp;isSmbAutoCall=false&amp;needSmbHouyi=false&amp;gad_source=1&amp;gad_campaignid=23551211716&amp;gbraid=0AAAABCRFad-d02UcBIr6J9Yy5Tkc_h9cK&amp;gclid=Cj0KCQjwr4jSBhCSARIsAOX1E-Laqd0VDY4t1PwlmuJU07-QkX2YKDQ6u6wn-YI7w1Y4m-78qsqa5LkaAo4yEALw_wcB</t>
  </si>
  <si>
    <t>Estanho 1,0mm 100g</t>
  </si>
  <si>
    <t>https://pt.aliexpress.com/item/1005006222917407.html?src=google&amp;snpsid=1&amp;traffic_server_nav=true&amp;src=google&amp;albch=shopping&amp;acnt=768-202-3196&amp;isdl=y&amp;slnk=&amp;plac=&amp;mtctp=&amp;albbt=Google_7_shopping&amp;aff_platform=google&amp;aff_short_key=UneMJZVf&amp;gclsrc=aw.ds&amp;albagn=888888&amp;ds_e_adid=&amp;ds_e_matchtype=&amp;ds_e_device=c&amp;ds_e_network=x&amp;ds_e_product_group_id=&amp;ds_e_product_id=pt1005006222917407&amp;ds_e_product_merchant_id=5551326180&amp;ds_e_product_country=BR&amp;ds_e_product_language=pt&amp;ds_e_product_channel=online&amp;ds_e_product_store_id=&amp;ds_url_v=2&amp;albcp=21106536414&amp;albag=&amp;isSmbAutoCall=false&amp;needSmbHouyi=false&amp;gad_source=1&amp;gad_campaignid=21106537179&amp;gbraid=0AAAAAC_WlP_65Vlhn7xcqpaoqUGBgOBT2&amp;gclid=Cj0KCQjwr4jSBhCSARIsAOX1E-Il1sI6HZyBnzG7AdF2ZgkL9Np3JebHtF0MIffnAj3flADkeDPQQFYaAlPgEALw_wcB</t>
  </si>
  <si>
    <t>Parafusos</t>
  </si>
  <si>
    <t>https://pt.aliexpress.com/item/1005006674812661.html?spm=a2g0o.productlist.main.5.553820f3pAotRJ&amp;algo_pvid=bec4117d-139b-4079-87d6-6951e6723cc4&amp;algo_exp_id=bec4117d-139b-4079-87d6-6951e6723cc4-4&amp;pdp_ext_f=%7B%22order%22%3A%2222947%22%2C%22spu_best_type%22%3A%22price%22%2C%22eval%22%3A%221%22%2C%22fromPage%22%3A%22search%22%7D&amp;pdp_npi=6%40dis%21BRL%2113.65%216.69%21%21%2116.62%218.14%21%402101dedf17827760005593948ed9e4%2112000037986727131%21sea%21BR%210%21ABX%211%210%21n_tag%3A-29910%3Bd%3A2793616d%3Bm03_new_user%3A-29895&amp;curPageLogUid=V9FZEZByoqou&amp;utparam-url=scene%3Asearch%7Cquery_from%3A%7Cx_object_id%3A1005006674812661%7C_p_origin_prod%3A</t>
  </si>
  <si>
    <t>Filamento PLA usado no gabinete (1kg)</t>
  </si>
  <si>
    <t>https://pt.aliexpress.com/item/1005008844633939.html?spm=a2g0o.productlist.main.5.7298Y08MY08MpC&amp;algo_pvid=5ee798a3-4f91-4f67-ae61-a50b41ccb698&amp;algo_exp_id=5ee798a3-4f91-4f67-ae61-a50b41ccb698-4&amp;pdp_ext_f=%7B%22order%22%3A%2226%22%2C%22eval%22%3A%221%22%2C%22fromPage%22%3A%22search%22%7D&amp;pdp_npi=6%40dis%21BRL%2197.50%2197.50%21%21%2117.46%2117.46%21%4021032f3717827760759242388efed5%2112000046919385448%21sea%21BR%210%21ABX%211%210%21n_tag%3A-29910%3Bd%3A2793616d%3Bm03_new_user%3A-29895&amp;curPageLogUid=tiiikDLYLiob&amp;utparam-url=scene%3Asearch%7Cquery_from%3A%7Cx_object_id%3A1005008844633939%7C_p_origin_prod%3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</si>
</sst>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&quot;R$&quot; #,##0.00"/>
  </numFmts>
  <fonts count="7">
    <font>
      <sz val="11.0"/>
      <color rgb="FF000000"/>
      <name val="Carlito"/>
      <scheme val="minor"/>
    </font>
    <font>
      <b/>
      <sz val="15.0"/>
      <color rgb="FFFFFFFF"/>
      <name val="Carlito"/>
    </font>
    <font>
      <b/>
      <sz val="11.0"/>
      <color theme="1"/>
      <name val="Carlito"/>
    </font>
    <font>
      <sz val="11.0"/>
      <color theme="1"/>
      <name val="Carlito"/>
    </font>
    <font>
      <b/>
      <sz val="11.0"/>
      <color rgb="FFFFFFFF"/>
      <name val="Carlito"/>
    </font>
    <font>
      <u/>
      <color rgb="FF0000FF"/>
    </font>
    <font>
      <color theme="1"/>
      <name val="Carlito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shrinkToFit="0" wrapText="1"/>
    </xf>
    <xf borderId="0" fillId="0" fontId="3" numFmtId="164" xfId="0" applyAlignment="1" applyFont="1" applyNumberFormat="1">
      <alignment shrinkToFit="0" wrapText="1"/>
    </xf>
    <xf borderId="0" fillId="0" fontId="3" numFmtId="0" xfId="0" applyAlignment="1" applyFont="1">
      <alignment shrinkToFit="0" wrapText="1"/>
    </xf>
    <xf borderId="0" fillId="0" fontId="3" numFmtId="165" xfId="0" applyAlignment="1" applyFont="1" applyNumberFormat="1">
      <alignment shrinkToFit="0" wrapText="1"/>
    </xf>
    <xf borderId="0" fillId="0" fontId="3" numFmtId="9" xfId="0" applyAlignment="1" applyFont="1" applyNumberFormat="1">
      <alignment shrinkToFit="0" wrapText="1"/>
    </xf>
    <xf borderId="0" fillId="2" fontId="4" numFmtId="0" xfId="0" applyAlignment="1" applyFont="1">
      <alignment horizontal="center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0" fontId="3" numFmtId="2" xfId="0" applyAlignment="1" applyFont="1" applyNumberFormat="1">
      <alignment shrinkToFit="0" wrapText="1"/>
    </xf>
    <xf borderId="0" fillId="0" fontId="3" numFmtId="165" xfId="0" applyAlignment="1" applyFont="1" applyNumberFormat="1">
      <alignment readingOrder="0" shrinkToFit="0" wrapText="1"/>
    </xf>
    <xf borderId="0" fillId="0" fontId="5" numFmtId="0" xfId="0" applyAlignment="1" applyFont="1">
      <alignment readingOrder="0" shrinkToFit="0" wrapText="0"/>
    </xf>
    <xf borderId="0" fillId="0" fontId="6" numFmtId="0" xfId="0" applyAlignment="1" applyFont="1">
      <alignment readingOrder="0"/>
    </xf>
    <xf borderId="0" fillId="0" fontId="6" numFmtId="2" xfId="0" applyFont="1" applyNumberFormat="1"/>
    <xf borderId="0" fillId="0" fontId="6" numFmtId="165" xfId="0" applyAlignment="1" applyFont="1" applyNumberFormat="1">
      <alignment readingOrder="0"/>
    </xf>
    <xf borderId="0" fillId="0" fontId="6" numFmtId="0" xfId="0" applyFont="1"/>
    <xf borderId="0" fillId="0" fontId="6" numFmtId="2" xfId="0" applyAlignment="1" applyFont="1" applyNumberFormat="1">
      <alignment readingOrder="0"/>
    </xf>
    <xf borderId="0" fillId="0" fontId="6" numFmtId="165" xfId="0" applyFont="1" applyNumberFormat="1"/>
    <xf borderId="0" fillId="0" fontId="6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pt.aliexpress.com/item/1005007771890393.html?src=google&amp;traffic_server_nav=true&amp;src=google&amp;albch=shopping&amp;acnt=768-202-3196&amp;isdl=y&amp;slnk=&amp;plac=&amp;mtctp=&amp;albbt=Google_7_shopping&amp;aff_platform=google&amp;aff_short_key=UneMJZVf&amp;gclsrc=aw.ds&amp;albagn=888888&amp;ds_e_adid=&amp;ds_e_matchtype=&amp;ds_e_device=c&amp;ds_e_network=x&amp;ds_e_product_group_id=&amp;ds_e_product_id=pt1005007771890393&amp;ds_e_product_merchant_id=768097526&amp;ds_e_product_country=BR&amp;ds_e_product_language=pt&amp;ds_e_product_channel=online&amp;ds_e_product_store_id=&amp;ds_url_v=2&amp;albcp=23747131398&amp;albag=&amp;isSmbAutoCall=false&amp;needSmbHouyi=false&amp;gad_source=1&amp;gad_campaignid=23747178714&amp;gbraid=0AAAABCRFad-rsuN6KYhLp-Xop54Lsea60&amp;gclid=Cj0KCQjwr4jSBhCSARIsAOX1E-JivWpjYvbZixbmAORckwCikvOAFp2c7ey5i5NB9Pc24UJoTwBkGvgaAqIJEALw_wcB" TargetMode="External"/><Relationship Id="rId10" Type="http://schemas.openxmlformats.org/officeDocument/2006/relationships/hyperlink" Target="https://pt.aliexpress.com/item/1005012576242821.html?src=google&amp;src=google&amp;albch=shopping&amp;acnt=297-491-5278&amp;isdl=y&amp;slnk=&amp;plac=&amp;mtctp=&amp;albbt=Google_7_shopping&amp;aff_platform=google&amp;aff_short_key=_oFgTQeV&amp;gclsrc=aw.ds&amp;albagn=888888&amp;ds_e_adid=&amp;ds_e_matchtype=&amp;ds_e_device=c&amp;ds_e_network=x&amp;ds_e_product_group_id=&amp;ds_e_product_id=pt1005012576242821&amp;ds_e_product_merchant_id=5703138139&amp;ds_e_product_country=BR&amp;ds_e_product_language=pt&amp;ds_e_product_channel=online&amp;ds_e_product_store_id=&amp;ds_url_v=2&amp;albcp=23461193190&amp;albag=&amp;isSmbAutoCall=false&amp;needSmbHouyi=false&amp;gad_source=1&amp;gad_campaignid=23466249500&amp;gbraid=0AAAABCRGU4nRPelbrDPqtmXEOB67bhZkn&amp;gclid=Cj0KCQjwr4jSBhCSARIsAOX1E-JtWbHPXttIyrVQlTC1u9iu_dAUG4NpY0n-tjuqxP125h2E7ddmQqYaAmRHEALw_wcB" TargetMode="External"/><Relationship Id="rId13" Type="http://schemas.openxmlformats.org/officeDocument/2006/relationships/hyperlink" Target="https://pt.aliexpress.com/item/1005007977006793.html?spm=a2g0o.productlist.main.6.1d7bRb6eRb6e2a&amp;algo_pvid=a6ae6b87-3add-4a4e-b7a6-1d6ee03426a3&amp;algo_exp_id=a6ae6b87-3add-4a4e-b7a6-1d6ee03426a3-5&amp;pdp_ext_f=%7B%22order%22%3A%2213053%22%2C%22spu_best_type%22%3A%22price%22%2C%22eval%22%3A%221%22%2C%22fromPage%22%3A%22search%22%7D&amp;pdp_npi=6%40dis%21BRL%2110.44%219.44%21%21%2112.71%2111.49%21%402103212317827757536174944ea02c%2112000043124727482%21sea%21BR%210%21ABX%211%210%21n_tag%3A-29910%3Bd%3A2793616d%3Bm03_new_user%3A-29895%3BpisId%3A5000000207250938&amp;curPageLogUid=NgvrhfA0YwmN&amp;utparam-url=scene%3Asearch%7Cquery_from%3A%7Cx_object_id%3A1005007977006793%7C_p_origin_prod%3A" TargetMode="External"/><Relationship Id="rId12" Type="http://schemas.openxmlformats.org/officeDocument/2006/relationships/hyperlink" Target="https://pt.aliexpress.com/item/1005010050482030.html?src=google&amp;traffic_server_nav=true&amp;src=google&amp;albch=shopping&amp;acnt=768-202-3196&amp;isdl=y&amp;slnk=&amp;plac=&amp;mtctp=&amp;albbt=Google_7_shopping&amp;aff_platform=google&amp;aff_short_key=UneMJZVf&amp;gclsrc=aw.ds&amp;albagn=888888&amp;ds_e_adid=&amp;ds_e_matchtype=&amp;ds_e_device=c&amp;ds_e_network=x&amp;ds_e_product_group_id=&amp;ds_e_product_id=pt1005010050482030&amp;ds_e_product_merchant_id=5620899455&amp;ds_e_product_country=BR&amp;ds_e_product_language=pt&amp;ds_e_product_channel=online&amp;ds_e_product_store_id=&amp;ds_url_v=2&amp;albcp=21106536414&amp;albag=&amp;isSmbAutoCall=false&amp;needSmbHouyi=false&amp;gad_source=1&amp;gad_campaignid=21106537179&amp;gbraid=0AAAAAC_WlP_65Vlhn7xcqpaoqUGBgOBT2&amp;gclid=Cj0KCQjwr4jSBhCSARIsAOX1E-Im2rcoQ-pP382YcJEYBVnv6NOw67fdcVPZaTWCu7-Kk98FKdUYbtYaAiWkEALw_wcB" TargetMode="External"/><Relationship Id="rId1" Type="http://schemas.openxmlformats.org/officeDocument/2006/relationships/hyperlink" Target="https://pt.aliexpress.com/item/1005004797368772.html?src=google&amp;traffic_server_nav=true&amp;src=google&amp;albch=shopping&amp;acnt=768-202-3196&amp;isdl=y&amp;slnk=&amp;plac=&amp;mtctp=&amp;albbt=Google_7_shopping&amp;aff_platform=google&amp;aff_short_key=UneMJZVf&amp;gclsrc=aw.ds&amp;albagn=888888&amp;ds_e_adid=&amp;ds_e_matchtype=&amp;ds_e_device=c&amp;ds_e_network=x&amp;ds_e_product_group_id=&amp;ds_e_product_id=pt1005004797368772&amp;ds_e_product_merchant_id=109152585&amp;ds_e_product_country=BR&amp;ds_e_product_language=pt&amp;ds_e_product_channel=online&amp;ds_e_product_store_id=&amp;ds_url_v=2&amp;albcp=21106536414&amp;albag=&amp;isSmbAutoCall=false&amp;needSmbHouyi=false&amp;gad_source=1&amp;gad_campaignid=21106537179&amp;gbraid=0AAAAAC_WlP_65Vlhn7xcqpaoqUGBgOBT2&amp;gclid=Cj0KCQjwr4jSBhCSARIsAOX1E-IgK04kcyH4RFCDEjtmkRvw2f8oyv5oyy8aF71eTNj5TOgZej3HQuwaAnE4EALw_wcB" TargetMode="External"/><Relationship Id="rId2" Type="http://schemas.openxmlformats.org/officeDocument/2006/relationships/hyperlink" Target="https://pt.aliexpress.com/item/1005010159274225.html?src=google&amp;traffic_server_nav=true&amp;src=google&amp;albch=shopping&amp;acnt=768-202-3196&amp;isdl=y&amp;slnk=&amp;plac=&amp;mtctp=&amp;albbt=Google_7_shopping&amp;aff_platform=google&amp;aff_short_key=UneMJZVf&amp;gclsrc=aw.ds&amp;albagn=888888&amp;ds_e_adid=&amp;ds_e_matchtype=&amp;ds_e_device=c&amp;ds_e_network=x&amp;ds_e_product_group_id=&amp;ds_e_product_id=pt1005010159274225&amp;ds_e_product_merchant_id=5663213908&amp;ds_e_product_country=BR&amp;ds_e_product_language=pt&amp;ds_e_product_channel=online&amp;ds_e_product_store_id=&amp;ds_url_v=2&amp;albcp=21106536414&amp;albag=&amp;isSmbAutoCall=false&amp;needSmbHouyi=false&amp;gad_source=1&amp;gad_campaignid=21106537179&amp;gbraid=0AAAAAC_WlP_65Vlhn7xcqpaoqUGBgOBT2&amp;gclid=Cj0KCQjwr4jSBhCSARIsAOX1E-IVCtZsTuCeSpuOx9BZPFKKYuiFXqitndLM8618yxBmhuXYo3sk4B8aArAZEALw_wcBB" TargetMode="External"/><Relationship Id="rId3" Type="http://schemas.openxmlformats.org/officeDocument/2006/relationships/hyperlink" Target="https://pt.aliexpress.com/item/32667248324.html?src=google&amp;traffic_server_nav=true&amp;src=google&amp;albch=shopping&amp;acnt=768-202-3196&amp;isdl=y&amp;slnk=&amp;plac=&amp;mtctp=&amp;albbt=Google_7_shopping&amp;aff_platform=google&amp;aff_short_key=UneMJZVf&amp;gclsrc=aw.ds&amp;albagn=888888&amp;ds_e_adid=&amp;ds_e_matchtype=&amp;ds_e_device=c&amp;ds_e_network=x&amp;ds_e_product_group_id=&amp;ds_e_product_id=pt32667248324&amp;ds_e_product_merchant_id=107160712&amp;ds_e_product_country=BR&amp;ds_e_product_language=pt&amp;ds_e_product_channel=online&amp;ds_e_product_store_id=&amp;ds_url_v=2&amp;albcp=21106536414&amp;albag=&amp;isSmbAutoCall=false&amp;needSmbHouyi=false&amp;gad_source=1&amp;gad_campaignid=21106537179&amp;gbraid=0AAAAAC_WlP_65Vlhn7xcqpaoqUGBgOBT2&amp;gclid=Cj0KCQjwr4jSBhCSARIsAOX1E-JWTXnvlX3QqODQFbAQGHSaq9kWv4mPawWNILGsbrM127KHOtI8VBsaApy5EALw_wcB" TargetMode="External"/><Relationship Id="rId4" Type="http://schemas.openxmlformats.org/officeDocument/2006/relationships/hyperlink" Target="https://pt.aliexpress.com/item/1005002967402208.html?src=google&amp;src=google&amp;albch=shopping&amp;acnt=603-455-9033&amp;isdl=y&amp;slnk=&amp;plac=&amp;mtctp=&amp;albbt=Google_7_shopping&amp;aff_platform=google&amp;aff_short_key=_oFgTQeV&amp;gclsrc=aw.ds&amp;albagn=888888&amp;ds_e_adid=&amp;ds_e_matchtype=&amp;ds_e_device=c&amp;ds_e_network=x&amp;ds_e_product_group_id=&amp;ds_e_product_id=pt1005002967402208&amp;ds_e_product_merchant_id=460506814&amp;ds_e_product_country=BR&amp;ds_e_product_language=pt&amp;ds_e_product_channel=online&amp;ds_e_product_store_id=&amp;ds_url_v=2&amp;albcp=23498557176&amp;albag=&amp;isSmbAutoCall=false&amp;needSmbHouyi=false&amp;gad_source=1&amp;gad_campaignid=23498603229&amp;gbraid=0AAAABCRFad9tJbHFXmJkiC-Q79NTh1H92&amp;gclid=Cj0KCQjwr4jSBhCSARIsAOX1E-KtFq9Tt9I7BcNb8aclYh1R6ojhjhg34VXx7l47zZrO3GNJRJnRC1IaAve2EALw_wcB" TargetMode="External"/><Relationship Id="rId9" Type="http://schemas.openxmlformats.org/officeDocument/2006/relationships/hyperlink" Target="https://pt.aliexpress.com/item/1005009141278440.html?src=google&amp;traffic_server_nav=true&amp;src=google&amp;albch=shopping&amp;acnt=768-202-3196&amp;isdl=y&amp;slnk=&amp;plac=&amp;mtctp=&amp;albbt=Google_7_shopping&amp;aff_platform=google&amp;aff_short_key=UneMJZVf&amp;gclsrc=aw.ds&amp;albagn=888888&amp;ds_e_adid=&amp;ds_e_matchtype=&amp;ds_e_device=c&amp;ds_e_network=x&amp;ds_e_product_group_id=&amp;ds_e_product_id=pt1005009141278440&amp;ds_e_product_merchant_id=5513130178&amp;ds_e_product_country=BR&amp;ds_e_product_language=pt&amp;ds_e_product_channel=online&amp;ds_e_product_store_id=&amp;ds_url_v=2&amp;albcp=21106536414&amp;albag=&amp;isSmbAutoCall=false&amp;needSmbHouyi=false&amp;gad_source=1&amp;gad_campaignid=21106537179&amp;gbraid=0AAAAAC_WlP_65Vlhn7xcqpaoqUGBgOBT2&amp;gclid=Cj0KCQjwr4jSBhCSARIsAOX1E-JImfgvwxTGZkaCWvY54r9F-g_B6swG9ijL4dZqTmzI4iS9E6sjgoUaAtJ2EALw_wcB" TargetMode="External"/><Relationship Id="rId15" Type="http://schemas.openxmlformats.org/officeDocument/2006/relationships/hyperlink" Target="https://pt.aliexpress.com/item/1005010759637095.html?src=google&amp;src=google&amp;albch=shopping&amp;acnt=603-455-9033&amp;isdl=y&amp;slnk=&amp;plac=&amp;mtctp=&amp;albbt=Google_7_shopping&amp;aff_platform=google&amp;aff_short_key=_oFgTQeV&amp;gclsrc=aw.ds&amp;albagn=888888&amp;ds_e_adid=&amp;ds_e_matchtype=&amp;ds_e_device=c&amp;ds_e_network=x&amp;ds_e_product_group_id=&amp;ds_e_product_id=pt1005010759637095&amp;ds_e_product_merchant_id=5762056048&amp;ds_e_product_country=BR&amp;ds_e_product_language=pt&amp;ds_e_product_channel=online&amp;ds_e_product_store_id=&amp;ds_url_v=2&amp;albcp=23541406539&amp;albag=&amp;isSmbAutoCall=false&amp;needSmbHouyi=false&amp;gad_source=1&amp;gad_campaignid=23551211716&amp;gbraid=0AAAABCRFad-d02UcBIr6J9Yy5Tkc_h9cK&amp;gclid=Cj0KCQjwr4jSBhCSARIsAOX1E-Laqd0VDY4t1PwlmuJU07-QkX2YKDQ6u6wn-YI7w1Y4m-78qsqa5LkaAo4yEALw_wcB" TargetMode="External"/><Relationship Id="rId14" Type="http://schemas.openxmlformats.org/officeDocument/2006/relationships/hyperlink" Target="https://pt.aliexpress.com/item/1005008706634283.html?src=google&amp;src=google&amp;albch=shopping&amp;acnt=603-455-9033&amp;isdl=y&amp;slnk=&amp;plac=&amp;mtctp=&amp;albbt=Google_7_shopping&amp;aff_platform=google&amp;aff_short_key=_oFgTQeV&amp;gclsrc=aw.ds&amp;albagn=888888&amp;ds_e_adid=&amp;ds_e_matchtype=&amp;ds_e_device=c&amp;ds_e_network=x&amp;ds_e_product_group_id=&amp;ds_e_product_id=pt1005008706634283&amp;ds_e_product_merchant_id=5556276102&amp;ds_e_product_country=BR&amp;ds_e_product_language=pt&amp;ds_e_product_channel=online&amp;ds_e_product_store_id=&amp;ds_url_v=2&amp;albcp=23498557176&amp;albag=&amp;isSmbAutoCall=false&amp;needSmbHouyi=false&amp;gad_source=1&amp;gad_campaignid=23498603229&amp;gbraid=0AAAABCRFad9tJbHFXmJkiC-Q79NTh1H92&amp;gclid=Cj0KCQjwr4jSBhCSARIsAOX1E-K-3IHnceFJQF-b1sl6SFGrpPssUWLINXUFAW_LtgPo0DEOcWK4FuAaAvhPEALw_wcB" TargetMode="External"/><Relationship Id="rId17" Type="http://schemas.openxmlformats.org/officeDocument/2006/relationships/hyperlink" Target="https://pt.aliexpress.com/item/1005006674812661.html?spm=a2g0o.productlist.main.5.553820f3pAotRJ&amp;algo_pvid=bec4117d-139b-4079-87d6-6951e6723cc4&amp;algo_exp_id=bec4117d-139b-4079-87d6-6951e6723cc4-4&amp;pdp_ext_f=%7B%22order%22%3A%2222947%22%2C%22spu_best_type%22%3A%22price%22%2C%22eval%22%3A%221%22%2C%22fromPage%22%3A%22search%22%7D&amp;pdp_npi=6%40dis%21BRL%2113.65%216.69%21%21%2116.62%218.14%21%402101dedf17827760005593948ed9e4%2112000037986727131%21sea%21BR%210%21ABX%211%210%21n_tag%3A-29910%3Bd%3A2793616d%3Bm03_new_user%3A-29895&amp;curPageLogUid=V9FZEZByoqou&amp;utparam-url=scene%3Asearch%7Cquery_from%3A%7Cx_object_id%3A1005006674812661%7C_p_origin_prod%3A" TargetMode="External"/><Relationship Id="rId16" Type="http://schemas.openxmlformats.org/officeDocument/2006/relationships/hyperlink" Target="https://pt.aliexpress.com/item/1005006222917407.html?src=google&amp;snpsid=1&amp;traffic_server_nav=true&amp;src=google&amp;albch=shopping&amp;acnt=768-202-3196&amp;isdl=y&amp;slnk=&amp;plac=&amp;mtctp=&amp;albbt=Google_7_shopping&amp;aff_platform=google&amp;aff_short_key=UneMJZVf&amp;gclsrc=aw.ds&amp;albagn=888888&amp;ds_e_adid=&amp;ds_e_matchtype=&amp;ds_e_device=c&amp;ds_e_network=x&amp;ds_e_product_group_id=&amp;ds_e_product_id=pt1005006222917407&amp;ds_e_product_merchant_id=5551326180&amp;ds_e_product_country=BR&amp;ds_e_product_language=pt&amp;ds_e_product_channel=online&amp;ds_e_product_store_id=&amp;ds_url_v=2&amp;albcp=21106536414&amp;albag=&amp;isSmbAutoCall=false&amp;needSmbHouyi=false&amp;gad_source=1&amp;gad_campaignid=21106537179&amp;gbraid=0AAAAAC_WlP_65Vlhn7xcqpaoqUGBgOBT2&amp;gclid=Cj0KCQjwr4jSBhCSARIsAOX1E-Il1sI6HZyBnzG7AdF2ZgkL9Np3JebHtF0MIffnAj3flADkeDPQQFYaAlPgEALw_wcB" TargetMode="External"/><Relationship Id="rId5" Type="http://schemas.openxmlformats.org/officeDocument/2006/relationships/hyperlink" Target="https://pt.aliexpress.com/item/1005009993688796.html?src=google&amp;traffic_server_nav=true&amp;src=google&amp;albch=shopping&amp;acnt=768-202-3196&amp;isdl=y&amp;slnk=&amp;plac=&amp;mtctp=&amp;albbt=Google_7_shopping&amp;aff_platform=google&amp;aff_short_key=UneMJZVf&amp;gclsrc=aw.ds&amp;albagn=888888&amp;ds_e_adid=&amp;ds_e_matchtype=&amp;ds_e_device=c&amp;ds_e_network=x&amp;ds_e_product_group_id=&amp;ds_e_product_id=pt1005009993688796&amp;ds_e_product_merchant_id=5320997518&amp;ds_e_product_country=BR&amp;ds_e_product_language=pt&amp;ds_e_product_channel=online&amp;ds_e_product_store_id=&amp;ds_url_v=2&amp;albcp=21106536414&amp;albag=&amp;isSmbAutoCall=false&amp;needSmbHouyi=false&amp;gad_source=1&amp;gad_campaignid=21106537179&amp;gbraid=0AAAAAC_WlP_65Vlhn7xcqpaoqUGBgOBT2&amp;gclid=Cj0KCQjwr4jSBhCSARIsAOX1E-IHSH4Ycla6xbo1WSg7huetbC0vBatDQCKFKFx-KNj9e6FBr7TaG2IaAhiFEALw_wcB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pt.aliexpress.com/item/1005009268741468.html?src=google&amp;traffic_server_nav=true&amp;src=google&amp;albch=shopping&amp;acnt=768-202-3196&amp;isdl=y&amp;slnk=&amp;plac=&amp;mtctp=&amp;albbt=Google_7_shopping&amp;aff_platform=google&amp;aff_short_key=UneMJZVf&amp;gclsrc=aw.ds&amp;albagn=888888&amp;ds_e_adid=&amp;ds_e_matchtype=&amp;ds_e_device=c&amp;ds_e_network=x&amp;ds_e_product_group_id=&amp;ds_e_product_id=pt1005009268741468&amp;ds_e_product_merchant_id=106314379&amp;ds_e_product_country=BR&amp;ds_e_product_language=pt&amp;ds_e_product_channel=online&amp;ds_e_product_store_id=&amp;ds_url_v=2&amp;albcp=21106536414&amp;albag=&amp;isSmbAutoCall=false&amp;needSmbHouyi=false&amp;gad_source=1&amp;gad_campaignid=21106537179&amp;gbraid=0AAAAAC_WlP_65Vlhn7xcqpaoqUGBgOBT2&amp;gclid=Cj0KCQjwr4jSBhCSARIsAOX1E-L9WMP4pp65XOwUXdCFmiM1wASdw6m0-ITCXfdIlIVuPlY_5I37uHcaAsofEALw_wcB" TargetMode="External"/><Relationship Id="rId18" Type="http://schemas.openxmlformats.org/officeDocument/2006/relationships/hyperlink" Target="https://pt.aliexpress.com/item/1005008844633939.html?spm=a2g0o.productlist.main.5.7298Y08MY08MpC&amp;algo_pvid=5ee798a3-4f91-4f67-ae61-a50b41ccb698&amp;algo_exp_id=5ee798a3-4f91-4f67-ae61-a50b41ccb698-4&amp;pdp_ext_f=%7B%22order%22%3A%2226%22%2C%22eval%22%3A%221%22%2C%22fromPage%22%3A%22search%22%7D&amp;pdp_npi=6%40dis%21BRL%2197.50%2197.50%21%21%2117.46%2117.46%21%4021032f3717827760759242388efed5%2112000046919385448%21sea%21BR%210%21ABX%211%210%21n_tag%3A-29910%3Bd%3A2793616d%3Bm03_new_user%3A-29895&amp;curPageLogUid=tiiikDLYLiob&amp;utparam-url=scene%3Asearch%7Cquery_from%3A%7Cx_object_id%3A1005008844633939%7C_p_origin_prod%3A" TargetMode="External"/><Relationship Id="rId7" Type="http://schemas.openxmlformats.org/officeDocument/2006/relationships/hyperlink" Target="https://pt.aliexpress.com/item/1005009694512284.html?src=google&amp;src=google&amp;albch=shopping&amp;acnt=603-455-9033&amp;isdl=y&amp;slnk=&amp;plac=&amp;mtctp=&amp;albbt=Google_7_shopping&amp;aff_platform=google&amp;aff_short_key=_oFgTQeV&amp;gclsrc=aw.ds&amp;albagn=888888&amp;ds_e_adid=&amp;ds_e_matchtype=&amp;ds_e_device=c&amp;ds_e_network=x&amp;ds_e_product_group_id=&amp;ds_e_product_id=pt1005009694512284&amp;ds_e_product_merchant_id=5445730461&amp;ds_e_product_country=BR&amp;ds_e_product_language=pt&amp;ds_e_product_channel=online&amp;ds_e_product_store_id=&amp;ds_url_v=2&amp;albcp=23541406539&amp;albag=&amp;isSmbAutoCall=false&amp;needSmbHouyi=false&amp;gad_source=1&amp;gad_campaignid=23551211716&amp;gbraid=0AAAABCRFad-d02UcBIr6J9Yy5Tkc_h9cK&amp;gclid=Cj0KCQjwr4jSBhCSARIsAOX1E-JIp04vwShmPgORPfirpCDUgSpsncwJextojj-x7b9CrGo6fDGG6NgaAp6wEALw_wcB" TargetMode="External"/><Relationship Id="rId8" Type="http://schemas.openxmlformats.org/officeDocument/2006/relationships/hyperlink" Target="https://pt.aliexpress.com/item/1005010677250186.html?src=google&amp;traffic_server_nav=true&amp;src=google&amp;albch=shopping&amp;acnt=768-202-3196&amp;isdl=y&amp;slnk=&amp;plac=&amp;mtctp=&amp;albbt=Google_7_shopping&amp;aff_platform=google&amp;aff_short_key=UneMJZVf&amp;gclsrc=aw.ds&amp;albagn=888888&amp;ds_e_adid=&amp;ds_e_matchtype=&amp;ds_e_device=c&amp;ds_e_network=x&amp;ds_e_product_group_id=&amp;ds_e_product_id=pt1005010677250186&amp;ds_e_product_merchant_id=5700772454&amp;ds_e_product_country=BR&amp;ds_e_product_language=pt&amp;ds_e_product_channel=online&amp;ds_e_product_store_id=&amp;ds_url_v=2&amp;albcp=21106536414&amp;albag=&amp;isSmbAutoCall=false&amp;needSmbHouyi=false&amp;gad_source=1&amp;gad_campaignid=21106537179&amp;gbraid=0AAAAAC_WlP_65Vlhn7xcqpaoqUGBgOBT2&amp;gclid=Cj0KCQjwr4jSBhCSARIsAOX1E-LRBbxiztNnSdjU2lvN1E-Yp2t9lSHmZTvRMDoV49yBNbD03UAbeVoaAhx2EALw_w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3" width="14.0"/>
    <col customWidth="1" min="4" max="4" width="22.0"/>
    <col customWidth="1" min="5" max="5" width="20.0"/>
    <col customWidth="1" min="6" max="6" width="24.0"/>
    <col customWidth="1" min="7" max="7" width="14.0"/>
    <col customWidth="1" min="8" max="8" width="30.5"/>
    <col customWidth="1" min="9" max="9" width="10.0"/>
    <col customWidth="1" min="10" max="25" width="8.63"/>
  </cols>
  <sheetData>
    <row r="1" ht="30.0" customHeight="1">
      <c r="A1" s="1" t="s">
        <v>0</v>
      </c>
    </row>
    <row r="3">
      <c r="A3" s="2" t="s">
        <v>1</v>
      </c>
      <c r="B3" s="3">
        <v>46202.0</v>
      </c>
      <c r="C3" s="4"/>
      <c r="E3" s="2" t="s">
        <v>2</v>
      </c>
      <c r="F3" s="4" t="s">
        <v>3</v>
      </c>
      <c r="G3" s="4"/>
    </row>
    <row r="4">
      <c r="A4" s="2" t="s">
        <v>4</v>
      </c>
      <c r="B4" s="5">
        <f>D26</f>
        <v>284.05</v>
      </c>
      <c r="C4" s="4"/>
      <c r="E4" s="6"/>
      <c r="F4" s="4"/>
      <c r="G4" s="4"/>
    </row>
    <row r="6" ht="15.75" customHeight="1">
      <c r="A6" s="7" t="s">
        <v>5</v>
      </c>
      <c r="B6" s="7" t="s">
        <v>6</v>
      </c>
      <c r="C6" s="7" t="s">
        <v>7</v>
      </c>
      <c r="D6" s="7" t="s">
        <v>8</v>
      </c>
      <c r="F6" s="8" t="s">
        <v>9</v>
      </c>
      <c r="H6" s="8" t="s">
        <v>10</v>
      </c>
      <c r="I6" s="7" t="s">
        <v>6</v>
      </c>
    </row>
    <row r="7" ht="15.75" customHeight="1">
      <c r="A7" s="4" t="s">
        <v>11</v>
      </c>
      <c r="B7" s="9">
        <v>2.0</v>
      </c>
      <c r="C7" s="10">
        <v>6.59</v>
      </c>
      <c r="D7" s="5">
        <f t="shared" ref="D7:D24" si="1">C7*B7</f>
        <v>13.18</v>
      </c>
      <c r="F7" s="11" t="s">
        <v>12</v>
      </c>
      <c r="H7" s="12" t="s">
        <v>13</v>
      </c>
      <c r="I7" s="12" t="s">
        <v>14</v>
      </c>
    </row>
    <row r="8" ht="15.75" customHeight="1">
      <c r="A8" s="4" t="s">
        <v>15</v>
      </c>
      <c r="B8" s="9">
        <v>7.0</v>
      </c>
      <c r="C8" s="10">
        <v>4.1</v>
      </c>
      <c r="D8" s="5">
        <f t="shared" si="1"/>
        <v>28.7</v>
      </c>
      <c r="F8" s="11" t="s">
        <v>16</v>
      </c>
      <c r="H8" s="12" t="s">
        <v>17</v>
      </c>
      <c r="I8" s="12" t="s">
        <v>18</v>
      </c>
    </row>
    <row r="9" ht="15.75" customHeight="1">
      <c r="A9" s="4" t="s">
        <v>19</v>
      </c>
      <c r="B9" s="9">
        <v>1.0</v>
      </c>
      <c r="C9" s="10">
        <v>15.69</v>
      </c>
      <c r="D9" s="5">
        <f t="shared" si="1"/>
        <v>15.69</v>
      </c>
      <c r="F9" s="11" t="s">
        <v>20</v>
      </c>
      <c r="H9" s="12" t="s">
        <v>21</v>
      </c>
      <c r="I9" s="12" t="s">
        <v>22</v>
      </c>
    </row>
    <row r="10" ht="15.75" customHeight="1">
      <c r="A10" s="4" t="s">
        <v>23</v>
      </c>
      <c r="B10" s="9">
        <v>3.0</v>
      </c>
      <c r="C10" s="10">
        <v>2.71</v>
      </c>
      <c r="D10" s="5">
        <f t="shared" si="1"/>
        <v>8.13</v>
      </c>
      <c r="F10" s="11" t="s">
        <v>24</v>
      </c>
    </row>
    <row r="11" ht="15.75" customHeight="1">
      <c r="A11" s="4" t="s">
        <v>25</v>
      </c>
      <c r="B11" s="9">
        <v>1.0</v>
      </c>
      <c r="C11" s="10">
        <v>8.46</v>
      </c>
      <c r="D11" s="5">
        <f t="shared" si="1"/>
        <v>8.46</v>
      </c>
      <c r="F11" s="11" t="s">
        <v>26</v>
      </c>
    </row>
    <row r="12" ht="15.75" customHeight="1">
      <c r="A12" s="12" t="s">
        <v>27</v>
      </c>
      <c r="B12" s="13">
        <v>1.0</v>
      </c>
      <c r="C12" s="14">
        <v>3.13</v>
      </c>
      <c r="D12" s="5">
        <f t="shared" si="1"/>
        <v>3.13</v>
      </c>
      <c r="F12" s="11" t="s">
        <v>28</v>
      </c>
    </row>
    <row r="13" ht="15.75" customHeight="1">
      <c r="A13" s="15" t="s">
        <v>29</v>
      </c>
      <c r="B13" s="13">
        <v>1.0</v>
      </c>
      <c r="C13" s="14">
        <v>15.98</v>
      </c>
      <c r="D13" s="5">
        <f t="shared" si="1"/>
        <v>15.98</v>
      </c>
      <c r="F13" s="11" t="s">
        <v>30</v>
      </c>
    </row>
    <row r="14" ht="15.75" customHeight="1">
      <c r="A14" s="15" t="s">
        <v>31</v>
      </c>
      <c r="B14" s="13">
        <v>1.0</v>
      </c>
      <c r="C14" s="14">
        <v>4.23</v>
      </c>
      <c r="D14" s="5">
        <f t="shared" si="1"/>
        <v>4.23</v>
      </c>
      <c r="F14" s="11" t="s">
        <v>32</v>
      </c>
    </row>
    <row r="15" ht="15.75" customHeight="1">
      <c r="A15" s="15" t="s">
        <v>33</v>
      </c>
      <c r="B15" s="13">
        <v>1.0</v>
      </c>
      <c r="C15" s="14">
        <v>1.8</v>
      </c>
      <c r="D15" s="5">
        <f t="shared" si="1"/>
        <v>1.8</v>
      </c>
      <c r="F15" s="11" t="s">
        <v>34</v>
      </c>
    </row>
    <row r="16" ht="15.75" customHeight="1">
      <c r="A16" s="15" t="s">
        <v>35</v>
      </c>
      <c r="B16" s="13">
        <v>1.0</v>
      </c>
      <c r="C16" s="14">
        <v>5.53</v>
      </c>
      <c r="D16" s="5">
        <f t="shared" si="1"/>
        <v>5.53</v>
      </c>
      <c r="F16" s="11" t="s">
        <v>36</v>
      </c>
    </row>
    <row r="17" ht="15.75" customHeight="1">
      <c r="A17" s="15" t="s">
        <v>37</v>
      </c>
      <c r="B17" s="13">
        <v>2.0</v>
      </c>
      <c r="C17" s="14">
        <v>1.09</v>
      </c>
      <c r="D17" s="5">
        <f t="shared" si="1"/>
        <v>2.18</v>
      </c>
      <c r="F17" s="11" t="s">
        <v>38</v>
      </c>
    </row>
    <row r="18" ht="15.75" customHeight="1">
      <c r="A18" s="12" t="s">
        <v>39</v>
      </c>
      <c r="B18" s="13">
        <v>1.0</v>
      </c>
      <c r="C18" s="14">
        <v>11.59</v>
      </c>
      <c r="D18" s="5">
        <f t="shared" si="1"/>
        <v>11.59</v>
      </c>
      <c r="F18" s="11" t="s">
        <v>40</v>
      </c>
    </row>
    <row r="19" ht="15.75" customHeight="1">
      <c r="A19" s="12" t="s">
        <v>41</v>
      </c>
      <c r="B19" s="16">
        <v>1.0</v>
      </c>
      <c r="C19" s="14">
        <v>11.6</v>
      </c>
      <c r="D19" s="5">
        <f t="shared" si="1"/>
        <v>11.6</v>
      </c>
      <c r="F19" s="11" t="s">
        <v>42</v>
      </c>
    </row>
    <row r="20" ht="15.75" customHeight="1">
      <c r="A20" s="12" t="s">
        <v>43</v>
      </c>
      <c r="B20" s="16">
        <v>2.0</v>
      </c>
      <c r="C20" s="14">
        <v>5.49</v>
      </c>
      <c r="D20" s="5">
        <f t="shared" si="1"/>
        <v>10.98</v>
      </c>
      <c r="F20" s="11" t="s">
        <v>44</v>
      </c>
    </row>
    <row r="21" ht="15.75" customHeight="1">
      <c r="A21" s="12" t="s">
        <v>45</v>
      </c>
      <c r="B21" s="13">
        <v>1.0</v>
      </c>
      <c r="C21" s="14">
        <v>31.19</v>
      </c>
      <c r="D21" s="5">
        <f t="shared" si="1"/>
        <v>31.19</v>
      </c>
      <c r="F21" s="11" t="s">
        <v>46</v>
      </c>
    </row>
    <row r="22" ht="15.75" customHeight="1">
      <c r="A22" s="12" t="s">
        <v>47</v>
      </c>
      <c r="B22" s="13">
        <v>1.0</v>
      </c>
      <c r="C22" s="14">
        <v>7.49</v>
      </c>
      <c r="D22" s="5">
        <f t="shared" si="1"/>
        <v>7.49</v>
      </c>
      <c r="F22" s="11" t="s">
        <v>48</v>
      </c>
    </row>
    <row r="23" ht="15.75" customHeight="1">
      <c r="A23" s="12" t="s">
        <v>49</v>
      </c>
      <c r="B23" s="13">
        <v>1.0</v>
      </c>
      <c r="C23" s="14">
        <v>6.69</v>
      </c>
      <c r="D23" s="5">
        <f t="shared" si="1"/>
        <v>6.69</v>
      </c>
      <c r="F23" s="11" t="s">
        <v>50</v>
      </c>
    </row>
    <row r="24" ht="15.75" customHeight="1">
      <c r="A24" s="12" t="s">
        <v>51</v>
      </c>
      <c r="B24" s="16">
        <v>1.0</v>
      </c>
      <c r="C24" s="14">
        <v>97.5</v>
      </c>
      <c r="D24" s="5">
        <f t="shared" si="1"/>
        <v>97.5</v>
      </c>
      <c r="F24" s="11" t="s">
        <v>52</v>
      </c>
    </row>
    <row r="25" ht="15.75" customHeight="1">
      <c r="A25" s="15"/>
      <c r="B25" s="13"/>
      <c r="C25" s="17"/>
      <c r="D25" s="5"/>
    </row>
    <row r="26" ht="15.75" customHeight="1">
      <c r="A26" s="15"/>
      <c r="B26" s="2" t="s">
        <v>4</v>
      </c>
      <c r="D26" s="17">
        <f>SUM(D7:D24)</f>
        <v>284.05</v>
      </c>
      <c r="E26" s="13"/>
      <c r="F26" s="17"/>
      <c r="G26" s="5"/>
    </row>
    <row r="27" ht="15.75" customHeight="1"/>
    <row r="28" ht="15.75" customHeight="1">
      <c r="A28" s="15"/>
      <c r="B28" s="13"/>
      <c r="C28" s="17"/>
      <c r="D28" s="5"/>
      <c r="F28" s="18"/>
    </row>
    <row r="29" ht="15.75" customHeight="1">
      <c r="F29" s="18"/>
    </row>
    <row r="30" ht="15.75" customHeight="1">
      <c r="F30" s="18"/>
    </row>
    <row r="31" ht="15.75" customHeight="1">
      <c r="F31" s="18"/>
    </row>
    <row r="32" ht="15.75" customHeight="1">
      <c r="F32" s="18"/>
    </row>
    <row r="33" ht="15.75" customHeight="1">
      <c r="F33" s="18"/>
    </row>
    <row r="34" ht="15.75" customHeight="1">
      <c r="F34" s="18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2">
    <mergeCell ref="B26:C26"/>
    <mergeCell ref="A1:I1"/>
  </mergeCells>
  <hyperlinks>
    <hyperlink r:id="rId1" ref="F7"/>
    <hyperlink r:id="rId2" ref="F8"/>
    <hyperlink r:id="rId3" ref="F9"/>
    <hyperlink r:id="rId4" ref="F10"/>
    <hyperlink r:id="rId5" ref="F11"/>
    <hyperlink r:id="rId6" ref="F12"/>
    <hyperlink r:id="rId7" ref="F13"/>
    <hyperlink r:id="rId8" ref="F14"/>
    <hyperlink r:id="rId9" ref="F15"/>
    <hyperlink r:id="rId10" ref="F16"/>
    <hyperlink r:id="rId11" ref="F17"/>
    <hyperlink r:id="rId12" ref="F18"/>
    <hyperlink r:id="rId13" ref="F19"/>
    <hyperlink r:id="rId14" ref="F20"/>
    <hyperlink r:id="rId15" ref="F21"/>
    <hyperlink r:id="rId16" ref="F22"/>
    <hyperlink r:id="rId17" ref="F23"/>
    <hyperlink r:id="rId18" ref="F24"/>
  </hyperlinks>
  <printOptions/>
  <pageMargins bottom="0.75" footer="0.0" header="0.0" left="0.7" right="0.7" top="0.75"/>
  <pageSetup orientation="landscape"/>
  <drawing r:id="rId19"/>
</worksheet>
</file>